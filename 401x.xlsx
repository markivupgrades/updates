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5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<sst xmlns="http://schemas.openxmlformats.org/spreadsheetml/2006/main" uniqueCount="10">
  <si>
    <t>Table 1</t>
  </si>
  <si>
    <t>401k Balance</t>
  </si>
  <si>
    <t>Interest Rate</t>
  </si>
  <si>
    <r>
      <rPr>
        <sz val="10"/>
        <color indexed="8"/>
        <rFont val="Helvetica Neue"/>
      </rPr>
      <t xml:space="preserve">Net </t>
    </r>
    <r>
      <rPr>
        <sz val="10"/>
        <color indexed="8"/>
        <rFont val="Helvetica Neue"/>
      </rPr>
      <t>per</t>
    </r>
    <r>
      <rPr>
        <sz val="10"/>
        <color indexed="8"/>
        <rFont val="Helvetica Neue"/>
      </rPr>
      <t xml:space="preserve"> month</t>
    </r>
  </si>
  <si>
    <t>Draw</t>
  </si>
  <si>
    <t>after SS</t>
  </si>
  <si>
    <t>Age</t>
  </si>
  <si>
    <t>Start</t>
  </si>
  <si>
    <t>Growth</t>
  </si>
  <si>
    <t>End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</si>
</sst>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&quot;$&quot;#,##0.00"/>
    <numFmt numFmtId="60" formatCode="0.0%"/>
  </numFmts>
  <fonts count="1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b val="1"/>
      <sz val="10"/>
      <color indexed="13"/>
      <name val="Helvetica Neue"/>
    </font>
    <font>
      <sz val="10"/>
      <color indexed="8"/>
      <name val="Helvetica Neue Medium"/>
    </font>
    <font>
      <b val="1"/>
      <sz val="12"/>
      <color indexed="8"/>
      <name val="Helvetica Neue"/>
    </font>
    <font>
      <sz val="10"/>
      <color indexed="15"/>
      <name val="Helvetica Neue"/>
    </font>
    <font>
      <i val="1"/>
      <sz val="10"/>
      <color indexed="8"/>
      <name val="Helvetica Neue"/>
    </font>
    <font>
      <b val="1"/>
      <sz val="12"/>
      <color indexed="15"/>
      <name val="Helvetica Neue"/>
    </font>
    <font>
      <i val="1"/>
      <sz val="8"/>
      <color indexed="8"/>
      <name val="Helvetica Neue"/>
    </font>
    <font>
      <sz val="10"/>
      <color indexed="16"/>
      <name val="Helvetica Neue Black Condensed"/>
    </font>
    <font>
      <i val="1"/>
      <sz val="7"/>
      <color indexed="17"/>
      <name val="Helvetica Neue"/>
    </font>
    <font>
      <sz val="9"/>
      <color indexed="8"/>
      <name val="Helvetica Neue"/>
    </font>
    <font>
      <sz val="7"/>
      <color indexed="13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4"/>
        <bgColor auto="1"/>
      </patternFill>
    </fill>
  </fills>
  <borders count="16">
    <border>
      <left/>
      <right/>
      <top/>
      <bottom/>
      <diagonal/>
    </border>
    <border>
      <left style="thin">
        <color indexed="11"/>
      </left>
      <right style="thin">
        <color indexed="12"/>
      </right>
      <top style="thin">
        <color indexed="11"/>
      </top>
      <bottom style="thin">
        <color indexed="8"/>
      </bottom>
      <diagonal/>
    </border>
    <border>
      <left style="thin">
        <color indexed="12"/>
      </left>
      <right style="thin">
        <color indexed="12"/>
      </right>
      <top style="thin">
        <color indexed="11"/>
      </top>
      <bottom style="thin">
        <color indexed="8"/>
      </bottom>
      <diagonal/>
    </border>
    <border>
      <left style="thin">
        <color indexed="12"/>
      </left>
      <right style="thin">
        <color indexed="11"/>
      </right>
      <top style="thin">
        <color indexed="11"/>
      </top>
      <bottom style="thin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8"/>
      </top>
      <bottom style="thin">
        <color indexed="12"/>
      </bottom>
      <diagonal/>
    </border>
    <border>
      <left style="thin">
        <color indexed="8"/>
      </left>
      <right style="thin">
        <color indexed="12"/>
      </right>
      <top style="thin">
        <color indexed="8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8"/>
      </top>
      <bottom style="thin">
        <color indexed="12"/>
      </bottom>
      <diagonal/>
    </border>
    <border>
      <left style="thin">
        <color indexed="12"/>
      </left>
      <right style="thin">
        <color indexed="11"/>
      </right>
      <top style="thin">
        <color indexed="8"/>
      </top>
      <bottom style="thin">
        <color indexed="12"/>
      </bottom>
      <diagonal/>
    </border>
    <border>
      <left style="thin">
        <color indexed="11"/>
      </left>
      <right style="thin">
        <color indexed="8"/>
      </right>
      <top style="thin">
        <color indexed="12"/>
      </top>
      <bottom style="thin">
        <color indexed="12"/>
      </bottom>
      <diagonal/>
    </border>
    <border>
      <left style="thin">
        <color indexed="8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1"/>
      </right>
      <top style="thin">
        <color indexed="12"/>
      </top>
      <bottom style="thin">
        <color indexed="12"/>
      </bottom>
      <diagonal/>
    </border>
    <border>
      <left style="thin">
        <color indexed="11"/>
      </left>
      <right style="thin">
        <color indexed="8"/>
      </right>
      <top style="thin">
        <color indexed="12"/>
      </top>
      <bottom style="thin">
        <color indexed="11"/>
      </bottom>
      <diagonal/>
    </border>
    <border>
      <left style="thin">
        <color indexed="8"/>
      </left>
      <right style="thin">
        <color indexed="12"/>
      </right>
      <top style="thin">
        <color indexed="12"/>
      </top>
      <bottom style="thin">
        <color indexed="11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1"/>
      </bottom>
      <diagonal/>
    </border>
    <border>
      <left style="thin">
        <color indexed="12"/>
      </left>
      <right style="thin">
        <color indexed="11"/>
      </right>
      <top style="thin">
        <color indexed="12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39">
    <xf numFmtId="0" fontId="0" applyNumberFormat="0" applyFont="1" applyFill="0" applyBorder="0" applyAlignment="1" applyProtection="0">
      <alignment vertical="top" wrapText="1"/>
    </xf>
    <xf numFmtId="0" fontId="0" fillId="2" applyNumberFormat="1" applyFont="1" applyFill="1" applyBorder="0" applyAlignment="1" applyProtection="0">
      <alignment vertical="top" wrapText="1"/>
    </xf>
    <xf numFmtId="0" fontId="1" fillId="2" applyNumberFormat="0" applyFont="1" applyFill="1" applyBorder="0" applyAlignment="1" applyProtection="0">
      <alignment horizontal="center" vertical="center"/>
    </xf>
    <xf numFmtId="49" fontId="2" fillId="3" borderId="1" applyNumberFormat="1" applyFont="1" applyFill="1" applyBorder="1" applyAlignment="1" applyProtection="0">
      <alignment vertical="top" wrapText="1"/>
    </xf>
    <xf numFmtId="59" fontId="3" fillId="3" borderId="2" applyNumberFormat="1" applyFont="1" applyFill="1" applyBorder="1" applyAlignment="1" applyProtection="0">
      <alignment horizontal="center" vertical="top" wrapText="1"/>
    </xf>
    <xf numFmtId="0" fontId="2" fillId="3" borderId="2" applyNumberFormat="0" applyFont="1" applyFill="1" applyBorder="1" applyAlignment="1" applyProtection="0">
      <alignment vertical="top" wrapText="1"/>
    </xf>
    <xf numFmtId="0" fontId="2" fillId="3" borderId="3" applyNumberFormat="0" applyFont="1" applyFill="1" applyBorder="1" applyAlignment="1" applyProtection="0">
      <alignment vertical="top" wrapText="1"/>
    </xf>
    <xf numFmtId="49" fontId="4" fillId="4" borderId="4" applyNumberFormat="1" applyFont="1" applyFill="1" applyBorder="1" applyAlignment="1" applyProtection="0">
      <alignment vertical="top" wrapText="1"/>
    </xf>
    <xf numFmtId="60" fontId="5" fillId="2" borderId="5" applyNumberFormat="1" applyFont="1" applyFill="1" applyBorder="1" applyAlignment="1" applyProtection="0">
      <alignment horizontal="center" vertical="top" wrapText="1"/>
    </xf>
    <xf numFmtId="0" fontId="0" fillId="2" borderId="6" applyNumberFormat="0" applyFont="1" applyFill="1" applyBorder="1" applyAlignment="1" applyProtection="0">
      <alignment vertical="top" wrapText="1"/>
    </xf>
    <xf numFmtId="49" fontId="0" fillId="2" borderId="7" applyNumberFormat="1" applyFont="1" applyFill="1" applyBorder="1" applyAlignment="1" applyProtection="0">
      <alignment horizontal="center" vertical="bottom" wrapText="1"/>
    </xf>
    <xf numFmtId="49" fontId="4" fillId="4" borderId="8" applyNumberFormat="1" applyFont="1" applyFill="1" applyBorder="1" applyAlignment="1" applyProtection="0">
      <alignment vertical="top" wrapText="1"/>
    </xf>
    <xf numFmtId="59" fontId="6" fillId="2" borderId="9" applyNumberFormat="1" applyFont="1" applyFill="1" applyBorder="1" applyAlignment="1" applyProtection="0">
      <alignment horizontal="center" vertical="top" wrapText="1"/>
    </xf>
    <xf numFmtId="59" fontId="7" fillId="2" borderId="10" applyNumberFormat="1" applyFont="1" applyFill="1" applyBorder="1" applyAlignment="1" applyProtection="0">
      <alignment vertical="top" wrapText="1"/>
    </xf>
    <xf numFmtId="59" fontId="8" fillId="2" borderId="10" applyNumberFormat="1" applyFont="1" applyFill="1" applyBorder="1" applyAlignment="1" applyProtection="0">
      <alignment vertical="top" wrapText="1"/>
    </xf>
    <xf numFmtId="49" fontId="9" fillId="2" borderId="10" applyNumberFormat="1" applyFont="1" applyFill="1" applyBorder="1" applyAlignment="1" applyProtection="0">
      <alignment horizontal="left" vertical="center" wrapText="1"/>
    </xf>
    <xf numFmtId="59" fontId="10" fillId="2" borderId="11" applyNumberFormat="1" applyFont="1" applyFill="1" applyBorder="1" applyAlignment="1" applyProtection="0">
      <alignment horizontal="center" vertical="top" wrapText="1"/>
    </xf>
    <xf numFmtId="0" fontId="4" fillId="4" borderId="8" applyNumberFormat="0" applyFont="1" applyFill="1" applyBorder="1" applyAlignment="1" applyProtection="0">
      <alignment vertical="top" wrapText="1"/>
    </xf>
    <xf numFmtId="0" fontId="0" fillId="2" borderId="9" applyNumberFormat="0" applyFont="1" applyFill="1" applyBorder="1" applyAlignment="1" applyProtection="0">
      <alignment vertical="top" wrapText="1"/>
    </xf>
    <xf numFmtId="0" fontId="0" fillId="2" borderId="10" applyNumberFormat="0" applyFont="1" applyFill="1" applyBorder="1" applyAlignment="1" applyProtection="0">
      <alignment vertical="top" wrapText="1"/>
    </xf>
    <xf numFmtId="0" fontId="0" fillId="2" borderId="11" applyNumberFormat="0" applyFont="1" applyFill="1" applyBorder="1" applyAlignment="1" applyProtection="0">
      <alignment vertical="top" wrapText="1"/>
    </xf>
    <xf numFmtId="49" fontId="2" fillId="4" borderId="8" applyNumberFormat="1" applyFont="1" applyFill="1" applyBorder="1" applyAlignment="1" applyProtection="0">
      <alignment horizontal="center" vertical="top" wrapText="1"/>
    </xf>
    <xf numFmtId="49" fontId="2" fillId="2" borderId="9" applyNumberFormat="1" applyFont="1" applyFill="1" applyBorder="1" applyAlignment="1" applyProtection="0">
      <alignment horizontal="center" vertical="top" wrapText="1"/>
    </xf>
    <xf numFmtId="49" fontId="2" fillId="2" borderId="10" applyNumberFormat="1" applyFont="1" applyFill="1" applyBorder="1" applyAlignment="1" applyProtection="0">
      <alignment horizontal="center" vertical="top" wrapText="1"/>
    </xf>
    <xf numFmtId="0" fontId="4" fillId="4" borderId="8" applyNumberFormat="1" applyFont="1" applyFill="1" applyBorder="1" applyAlignment="1" applyProtection="0">
      <alignment horizontal="center" vertical="top" wrapText="1"/>
    </xf>
    <xf numFmtId="59" fontId="9" fillId="2" borderId="9" applyNumberFormat="1" applyFont="1" applyFill="1" applyBorder="1" applyAlignment="1" applyProtection="0">
      <alignment horizontal="center" vertical="top" wrapText="1"/>
    </xf>
    <xf numFmtId="59" fontId="9" fillId="2" borderId="10" applyNumberFormat="1" applyFont="1" applyFill="1" applyBorder="1" applyAlignment="1" applyProtection="0">
      <alignment horizontal="center" vertical="top" wrapText="1"/>
    </xf>
    <xf numFmtId="59" fontId="11" fillId="2" borderId="11" applyNumberFormat="1" applyFont="1" applyFill="1" applyBorder="1" applyAlignment="1" applyProtection="0">
      <alignment vertical="center" wrapText="1"/>
    </xf>
    <xf numFmtId="59" fontId="12" fillId="2" borderId="9" applyNumberFormat="1" applyFont="1" applyFill="1" applyBorder="1" applyAlignment="1" applyProtection="0">
      <alignment horizontal="center" vertical="top" wrapText="1"/>
    </xf>
    <xf numFmtId="59" fontId="12" fillId="2" borderId="10" applyNumberFormat="1" applyFont="1" applyFill="1" applyBorder="1" applyAlignment="1" applyProtection="0">
      <alignment horizontal="center" vertical="top" wrapText="1"/>
    </xf>
    <xf numFmtId="59" fontId="13" fillId="2" borderId="11" applyNumberFormat="1" applyFont="1" applyFill="1" applyBorder="1" applyAlignment="1" applyProtection="0">
      <alignment vertical="center" wrapText="1"/>
    </xf>
    <xf numFmtId="0" fontId="4" fillId="4" borderId="8" applyNumberFormat="0" applyFont="1" applyFill="1" applyBorder="1" applyAlignment="1" applyProtection="0">
      <alignment horizontal="center" vertical="top" wrapText="1"/>
    </xf>
    <xf numFmtId="59" fontId="0" fillId="2" borderId="9" applyNumberFormat="1" applyFont="1" applyFill="1" applyBorder="1" applyAlignment="1" applyProtection="0">
      <alignment horizontal="center" vertical="top" wrapText="1"/>
    </xf>
    <xf numFmtId="59" fontId="0" fillId="2" borderId="10" applyNumberFormat="1" applyFont="1" applyFill="1" applyBorder="1" applyAlignment="1" applyProtection="0">
      <alignment horizontal="center" vertical="top" wrapText="1"/>
    </xf>
    <xf numFmtId="0" fontId="4" fillId="4" borderId="12" applyNumberFormat="0" applyFont="1" applyFill="1" applyBorder="1" applyAlignment="1" applyProtection="0">
      <alignment horizontal="center" vertical="top" wrapText="1"/>
    </xf>
    <xf numFmtId="59" fontId="0" fillId="2" borderId="13" applyNumberFormat="1" applyFont="1" applyFill="1" applyBorder="1" applyAlignment="1" applyProtection="0">
      <alignment horizontal="center" vertical="top" wrapText="1"/>
    </xf>
    <xf numFmtId="59" fontId="0" fillId="2" borderId="14" applyNumberFormat="1" applyFont="1" applyFill="1" applyBorder="1" applyAlignment="1" applyProtection="0">
      <alignment horizontal="center" vertical="top" wrapText="1"/>
    </xf>
    <xf numFmtId="0" fontId="0" fillId="2" borderId="14" applyNumberFormat="0" applyFont="1" applyFill="1" applyBorder="1" applyAlignment="1" applyProtection="0">
      <alignment vertical="top" wrapText="1"/>
    </xf>
    <xf numFmtId="0" fontId="0" fillId="2" borderId="15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fefffe"/>
      <rgbColor rgb="ff000000"/>
      <rgbColor rgb="ff434443"/>
      <rgbColor rgb="ffafafaf"/>
      <rgbColor rgb="ffb5b5b5"/>
      <rgbColor rgb="ff60d735"/>
      <rgbColor rgb="ff2c2c2c"/>
      <rgbColor rgb="fff8b900"/>
      <rgbColor rgb="ff1cb000"/>
      <rgbColor rgb="ff6c6c6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20_Blank_Black">
  <a:themeElements>
    <a:clrScheme name="20_Blank_Black">
      <a:dk1>
        <a:srgbClr val="000000"/>
      </a:dk1>
      <a:lt1>
        <a:srgbClr val="FFFFFF"/>
      </a:lt1>
      <a:dk2>
        <a:srgbClr val="434343"/>
      </a:dk2>
      <a:lt2>
        <a:srgbClr val="A9A9A9"/>
      </a:lt2>
      <a:accent1>
        <a:srgbClr val="0076BA"/>
      </a:accent1>
      <a:accent2>
        <a:srgbClr val="05A89D"/>
      </a:accent2>
      <a:accent3>
        <a:srgbClr val="1DB100"/>
      </a:accent3>
      <a:accent4>
        <a:srgbClr val="F9B900"/>
      </a:accent4>
      <a:accent5>
        <a:srgbClr val="EE220D"/>
      </a:accent5>
      <a:accent6>
        <a:srgbClr val="CB297B"/>
      </a:accent6>
      <a:hlink>
        <a:srgbClr val="0000FF"/>
      </a:hlink>
      <a:folHlink>
        <a:srgbClr val="FF00FF"/>
      </a:folHlink>
    </a:clrScheme>
    <a:fontScheme name="20_Blank_Blac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20_Blank_Blac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FFFFFF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F67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2" width="16.3516" style="1" customWidth="1"/>
    <col min="3" max="3" width="14.9688" style="1" customWidth="1"/>
    <col min="4" max="4" hidden="1" width="16.3333" style="1" customWidth="1"/>
    <col min="5" max="6" width="16.3516" style="1" customWidth="1"/>
    <col min="7" max="16384" width="16.3516" style="1" customWidth="1"/>
  </cols>
  <sheetData>
    <row r="1" ht="25.65" customHeight="1">
      <c r="A1" t="s" s="2">
        <v>0</v>
      </c>
      <c r="B1" s="2"/>
      <c r="C1" s="2"/>
      <c r="D1" s="2"/>
      <c r="E1" s="2"/>
      <c r="F1" s="2"/>
    </row>
    <row r="2" ht="20.45" customHeight="1">
      <c r="A2" t="s" s="3">
        <v>1</v>
      </c>
      <c r="B2" s="4">
        <v>1920963.79</v>
      </c>
      <c r="C2" s="5"/>
      <c r="D2" s="5"/>
      <c r="E2" s="5"/>
      <c r="F2" s="6"/>
    </row>
    <row r="3" ht="23.4" customHeight="1">
      <c r="A3" t="s" s="7">
        <v>2</v>
      </c>
      <c r="B3" s="8">
        <v>0.035</v>
      </c>
      <c r="C3" s="9"/>
      <c r="D3" s="9"/>
      <c r="E3" s="9"/>
      <c r="F3" t="s" s="10">
        <v>3</v>
      </c>
    </row>
    <row r="4" ht="20.2" customHeight="1">
      <c r="A4" t="s" s="11">
        <v>4</v>
      </c>
      <c r="B4" s="12">
        <v>128000</v>
      </c>
      <c r="C4" s="13" cm="1">
        <f t="array" ref="C4">B4+42000</f>
        <v>170000</v>
      </c>
      <c r="D4" s="14" cm="1">
        <f t="array" ref="D4">(B4+42000*(1-0.151))/12</f>
        <v>13638.1666666667</v>
      </c>
      <c r="E4" t="s" s="15">
        <v>5</v>
      </c>
      <c r="F4" s="16" cm="1">
        <f t="array" ref="F4">(B4-(B4*0.12)+42000)/12</f>
        <v>12886.6666666667</v>
      </c>
    </row>
    <row r="5" ht="20.2" customHeight="1">
      <c r="A5" s="17"/>
      <c r="B5" s="18"/>
      <c r="C5" s="19"/>
      <c r="D5" s="19"/>
      <c r="E5" s="19"/>
      <c r="F5" s="20"/>
    </row>
    <row r="6" ht="20.2" customHeight="1">
      <c r="A6" t="s" s="21">
        <v>6</v>
      </c>
      <c r="B6" t="s" s="22">
        <v>7</v>
      </c>
      <c r="C6" t="s" s="23">
        <v>8</v>
      </c>
      <c r="D6" t="s" s="23">
        <v>9</v>
      </c>
      <c r="E6" s="19"/>
      <c r="F6" s="20"/>
    </row>
    <row r="7" ht="20.2" customHeight="1">
      <c r="A7" s="24">
        <v>60</v>
      </c>
      <c r="B7" s="25" cm="1">
        <f t="array" ref="B7">B$2</f>
        <v>1920963.79</v>
      </c>
      <c r="C7" s="26" cm="1">
        <f t="array" ref="C7">(B7-$B$4)*$B$3</f>
        <v>62753.73265</v>
      </c>
      <c r="D7" s="26" cm="1">
        <f t="array" ref="D7">(B7-B4)+C7</f>
        <v>1855717.52265</v>
      </c>
      <c r="E7" s="19"/>
      <c r="F7" s="27" cm="1">
        <f t="array" ref="F7">(B4-(B4*0.12))/12</f>
        <v>9386.666666666670</v>
      </c>
    </row>
    <row r="8" ht="20.2" customHeight="1">
      <c r="A8" s="24" cm="1">
        <f t="array" ref="A8">$A7+1</f>
        <v>61</v>
      </c>
      <c r="B8" s="25" cm="1">
        <f t="array" ref="B8">D7</f>
        <v>1855717.52265</v>
      </c>
      <c r="C8" s="26" cm="1">
        <f t="array" ref="C8">(B8-$B$4)*$B$3</f>
        <v>60470.11329275</v>
      </c>
      <c r="D8" s="26" cm="1">
        <f t="array" ref="D8">(B8-$B$4)+C8</f>
        <v>1788187.63594275</v>
      </c>
      <c r="E8" s="19"/>
      <c r="F8" s="27" cm="1">
        <f t="array" ref="F8">F7</f>
        <v>9386.666666666670</v>
      </c>
    </row>
    <row r="9" ht="20.2" customHeight="1">
      <c r="A9" s="24" cm="1">
        <f t="array" ref="A9">$A8+1</f>
        <v>62</v>
      </c>
      <c r="B9" s="25" cm="1">
        <f t="array" ref="B9">D8</f>
        <v>1788187.63594275</v>
      </c>
      <c r="C9" s="26" cm="1">
        <f t="array" ref="C9">(B9-$B$4)*$B$3</f>
        <v>58106.5672579963</v>
      </c>
      <c r="D9" s="26" cm="1">
        <f t="array" ref="D9">(B9-$B$4)+C9</f>
        <v>1718294.20320075</v>
      </c>
      <c r="E9" s="19"/>
      <c r="F9" s="27" cm="1">
        <f t="array" ref="F9">F7</f>
        <v>9386.666666666670</v>
      </c>
    </row>
    <row r="10" ht="20.2" customHeight="1">
      <c r="A10" s="24" cm="1">
        <f t="array" ref="A10">$A9+1</f>
        <v>63</v>
      </c>
      <c r="B10" s="28" cm="1">
        <f t="array" ref="B10">D9</f>
        <v>1718294.20320075</v>
      </c>
      <c r="C10" s="29" cm="1">
        <f t="array" ref="C10">(B10-($B$4-42000))*$B$3</f>
        <v>57130.2971120263</v>
      </c>
      <c r="D10" s="29" cm="1">
        <f t="array" ref="D10">(B10-($B$4-42000))+C10</f>
        <v>1689424.50031278</v>
      </c>
      <c r="E10" s="19"/>
      <c r="F10" s="30" cm="1">
        <f t="array" ref="F10">F4</f>
        <v>12886.6666666667</v>
      </c>
    </row>
    <row r="11" ht="20.2" customHeight="1">
      <c r="A11" s="24" cm="1">
        <f t="array" ref="A11">$A10+1</f>
        <v>64</v>
      </c>
      <c r="B11" s="28" cm="1">
        <f t="array" ref="B11">D10</f>
        <v>1689424.50031278</v>
      </c>
      <c r="C11" s="29" cm="1">
        <f t="array" ref="C11">(B11-($B$4-42000))*$B$3</f>
        <v>56119.8575109473</v>
      </c>
      <c r="D11" s="29" cm="1">
        <f t="array" ref="D11">(B11-($B$4-42000))+C11</f>
        <v>1659544.35782373</v>
      </c>
      <c r="E11" s="19"/>
      <c r="F11" s="20"/>
    </row>
    <row r="12" ht="20.2" customHeight="1">
      <c r="A12" s="24" cm="1">
        <f t="array" ref="A12">$A11+1</f>
        <v>65</v>
      </c>
      <c r="B12" s="28" cm="1">
        <f t="array" ref="B12">D11</f>
        <v>1659544.35782373</v>
      </c>
      <c r="C12" s="29" cm="1">
        <f t="array" ref="C12">(B12-($B$4-42000))*$B$3</f>
        <v>55074.0525238306</v>
      </c>
      <c r="D12" s="29" cm="1">
        <f t="array" ref="D12">(B12-($B$4-42000))+C12</f>
        <v>1628618.41034756</v>
      </c>
      <c r="E12" s="19"/>
      <c r="F12" s="20"/>
    </row>
    <row r="13" ht="20.2" customHeight="1">
      <c r="A13" s="24" cm="1">
        <f t="array" ref="A13">$A12+1</f>
        <v>66</v>
      </c>
      <c r="B13" s="28" cm="1">
        <f t="array" ref="B13">D12</f>
        <v>1628618.41034756</v>
      </c>
      <c r="C13" s="29" cm="1">
        <f t="array" ref="C13">(B13-($B$4-42000))*$B$3</f>
        <v>53991.6443621646</v>
      </c>
      <c r="D13" s="29" cm="1">
        <f t="array" ref="D13">(B13-($B$4-42000))+C13</f>
        <v>1596610.05470972</v>
      </c>
      <c r="E13" s="19"/>
      <c r="F13" s="20"/>
    </row>
    <row r="14" ht="20.2" customHeight="1">
      <c r="A14" s="24" cm="1">
        <f t="array" ref="A14">$A13+1</f>
        <v>67</v>
      </c>
      <c r="B14" s="28" cm="1">
        <f t="array" ref="B14">D13</f>
        <v>1596610.05470972</v>
      </c>
      <c r="C14" s="29" cm="1">
        <f t="array" ref="C14">(B14-($B$4-42000))*$B$3</f>
        <v>52871.3519148402</v>
      </c>
      <c r="D14" s="29" cm="1">
        <f t="array" ref="D14">(B14-($B$4-42000))+C14</f>
        <v>1563481.40662456</v>
      </c>
      <c r="E14" s="19"/>
      <c r="F14" s="20"/>
    </row>
    <row r="15" ht="20.2" customHeight="1">
      <c r="A15" s="24" cm="1">
        <f t="array" ref="A15">$A14+1</f>
        <v>68</v>
      </c>
      <c r="B15" s="28" cm="1">
        <f t="array" ref="B15">D14</f>
        <v>1563481.40662456</v>
      </c>
      <c r="C15" s="29" cm="1">
        <f t="array" ref="C15">(B15-($B$4-42000))*$B$3</f>
        <v>51711.8492318596</v>
      </c>
      <c r="D15" s="29" cm="1">
        <f t="array" ref="D15">(B15-($B$4-42000))+C15</f>
        <v>1529193.25585642</v>
      </c>
      <c r="E15" s="19"/>
      <c r="F15" s="20"/>
    </row>
    <row r="16" ht="20.2" customHeight="1">
      <c r="A16" s="24" cm="1">
        <f t="array" ref="A16">$A15+1</f>
        <v>69</v>
      </c>
      <c r="B16" s="28" cm="1">
        <f t="array" ref="B16">D15</f>
        <v>1529193.25585642</v>
      </c>
      <c r="C16" s="29" cm="1">
        <f t="array" ref="C16">(B16-($B$4-42000))*$B$3</f>
        <v>50511.7639549747</v>
      </c>
      <c r="D16" s="29" cm="1">
        <f t="array" ref="D16">(B16-($B$4-42000))+C16</f>
        <v>1493705.01981139</v>
      </c>
      <c r="E16" s="19"/>
      <c r="F16" s="20"/>
    </row>
    <row r="17" ht="20.2" customHeight="1">
      <c r="A17" s="24" cm="1">
        <f t="array" ref="A17">$A16+1</f>
        <v>70</v>
      </c>
      <c r="B17" s="28" cm="1">
        <f t="array" ref="B17">D16</f>
        <v>1493705.01981139</v>
      </c>
      <c r="C17" s="29" cm="1">
        <f t="array" ref="C17">(B17-($B$4-42000))*$B$3</f>
        <v>49269.6756933987</v>
      </c>
      <c r="D17" s="29" cm="1">
        <f t="array" ref="D17">(B17-($B$4-42000))+C17</f>
        <v>1456974.69550479</v>
      </c>
      <c r="E17" s="19"/>
      <c r="F17" s="20"/>
    </row>
    <row r="18" ht="20.2" customHeight="1">
      <c r="A18" s="24" cm="1">
        <f t="array" ref="A18">$A17+1</f>
        <v>71</v>
      </c>
      <c r="B18" s="28" cm="1">
        <f t="array" ref="B18">D17</f>
        <v>1456974.69550479</v>
      </c>
      <c r="C18" s="29" cm="1">
        <f t="array" ref="C18">(B18-($B$4-42000))*$B$3</f>
        <v>47984.1143426677</v>
      </c>
      <c r="D18" s="29" cm="1">
        <f t="array" ref="D18">(B18-($B$4-42000))+C18</f>
        <v>1418958.80984746</v>
      </c>
      <c r="E18" s="19"/>
      <c r="F18" s="20"/>
    </row>
    <row r="19" ht="20.2" customHeight="1">
      <c r="A19" s="24" cm="1">
        <f t="array" ref="A19">$A18+1</f>
        <v>72</v>
      </c>
      <c r="B19" s="28" cm="1">
        <f t="array" ref="B19">D18</f>
        <v>1418958.80984746</v>
      </c>
      <c r="C19" s="29" cm="1">
        <f t="array" ref="C19">(B19-($B$4-42000))*$B$3</f>
        <v>46653.5583446611</v>
      </c>
      <c r="D19" s="29" cm="1">
        <f t="array" ref="D19">(B19-($B$4-42000))+C19</f>
        <v>1379612.36819212</v>
      </c>
      <c r="E19" s="19"/>
      <c r="F19" s="20"/>
    </row>
    <row r="20" ht="20.2" customHeight="1">
      <c r="A20" s="24" cm="1">
        <f t="array" ref="A20">$A19+1</f>
        <v>73</v>
      </c>
      <c r="B20" s="28" cm="1">
        <f t="array" ref="B20">D19</f>
        <v>1379612.36819212</v>
      </c>
      <c r="C20" s="29" cm="1">
        <f t="array" ref="C20">(B20-($B$4-42000))*$B$3</f>
        <v>45276.4328867242</v>
      </c>
      <c r="D20" s="29" cm="1">
        <f t="array" ref="D20">(B20-($B$4-42000))+C20</f>
        <v>1338888.80107884</v>
      </c>
      <c r="E20" s="19"/>
      <c r="F20" s="20"/>
    </row>
    <row r="21" ht="20.2" customHeight="1">
      <c r="A21" s="24" cm="1">
        <f t="array" ref="A21">$A20+1</f>
        <v>74</v>
      </c>
      <c r="B21" s="28" cm="1">
        <f t="array" ref="B21">D20</f>
        <v>1338888.80107884</v>
      </c>
      <c r="C21" s="29" cm="1">
        <f t="array" ref="C21">(B21-($B$4-42000))*$B$3</f>
        <v>43851.1080377594</v>
      </c>
      <c r="D21" s="29" cm="1">
        <f t="array" ref="D21">(B21-($B$4-42000))+C21</f>
        <v>1296739.9091166</v>
      </c>
      <c r="E21" s="19"/>
      <c r="F21" s="20"/>
    </row>
    <row r="22" ht="20.2" customHeight="1">
      <c r="A22" s="24" cm="1">
        <f t="array" ref="A22">$A21+1</f>
        <v>75</v>
      </c>
      <c r="B22" s="28" cm="1">
        <f t="array" ref="B22">D21</f>
        <v>1296739.9091166</v>
      </c>
      <c r="C22" s="29" cm="1">
        <f t="array" ref="C22">(B22-($B$4-42000))*$B$3</f>
        <v>42375.896819081</v>
      </c>
      <c r="D22" s="29" cm="1">
        <f t="array" ref="D22">(B22-($B$4-42000))+C22</f>
        <v>1253115.80593568</v>
      </c>
      <c r="E22" s="19"/>
      <c r="F22" s="20"/>
    </row>
    <row r="23" ht="20.2" customHeight="1">
      <c r="A23" s="24" cm="1">
        <f t="array" ref="A23">$A22+1</f>
        <v>76</v>
      </c>
      <c r="B23" s="28" cm="1">
        <f t="array" ref="B23">D22</f>
        <v>1253115.80593568</v>
      </c>
      <c r="C23" s="29" cm="1">
        <f t="array" ref="C23">(B23-($B$4-42000))*$B$3</f>
        <v>40849.0532077488</v>
      </c>
      <c r="D23" s="29" cm="1">
        <f t="array" ref="D23">(B23-($B$4-42000))+C23</f>
        <v>1207964.85914343</v>
      </c>
      <c r="E23" s="19"/>
      <c r="F23" s="20"/>
    </row>
    <row r="24" ht="20.2" customHeight="1">
      <c r="A24" s="24" cm="1">
        <f t="array" ref="A24">$A23+1</f>
        <v>77</v>
      </c>
      <c r="B24" s="28" cm="1">
        <f t="array" ref="B24">D23</f>
        <v>1207964.85914343</v>
      </c>
      <c r="C24" s="29" cm="1">
        <f t="array" ref="C24">(B24-($B$4-42000))*$B$3</f>
        <v>39268.7700700201</v>
      </c>
      <c r="D24" s="29" cm="1">
        <f t="array" ref="D24">(B24-($B$4-42000))+C24</f>
        <v>1161233.62921345</v>
      </c>
      <c r="E24" s="19"/>
      <c r="F24" s="20"/>
    </row>
    <row r="25" ht="20.2" customHeight="1">
      <c r="A25" s="24" cm="1">
        <f t="array" ref="A25">$A24+1</f>
        <v>78</v>
      </c>
      <c r="B25" s="28" cm="1">
        <f t="array" ref="B25">D24</f>
        <v>1161233.62921345</v>
      </c>
      <c r="C25" s="29" cm="1">
        <f t="array" ref="C25">(B25-($B$4-42000))*$B$3</f>
        <v>37633.1770224708</v>
      </c>
      <c r="D25" s="29" cm="1">
        <f t="array" ref="D25">(B25-($B$4-42000))+C25</f>
        <v>1112866.80623592</v>
      </c>
      <c r="E25" s="19"/>
      <c r="F25" s="20"/>
    </row>
    <row r="26" ht="20.2" customHeight="1">
      <c r="A26" s="24" cm="1">
        <f t="array" ref="A26">$A25+1</f>
        <v>79</v>
      </c>
      <c r="B26" s="28" cm="1">
        <f t="array" ref="B26">D25</f>
        <v>1112866.80623592</v>
      </c>
      <c r="C26" s="29" cm="1">
        <f t="array" ref="C26">(B26-($B$4-42000))*$B$3</f>
        <v>35940.3382182572</v>
      </c>
      <c r="D26" s="29" cm="1">
        <f t="array" ref="D26">(B26-($B$4-42000))+C26</f>
        <v>1062807.14445418</v>
      </c>
      <c r="E26" s="19"/>
      <c r="F26" s="20"/>
    </row>
    <row r="27" ht="20.2" customHeight="1">
      <c r="A27" s="24" cm="1">
        <f t="array" ref="A27">$A26+1</f>
        <v>80</v>
      </c>
      <c r="B27" s="28" cm="1">
        <f t="array" ref="B27">D26</f>
        <v>1062807.14445418</v>
      </c>
      <c r="C27" s="29" cm="1">
        <f t="array" ref="C27">(B27-($B$4-42000))*$B$3</f>
        <v>34188.2500558963</v>
      </c>
      <c r="D27" s="29" cm="1">
        <f t="array" ref="D27">(B27-($B$4-42000))+C27</f>
        <v>1010995.39451008</v>
      </c>
      <c r="E27" s="19"/>
      <c r="F27" s="20"/>
    </row>
    <row r="28" ht="20.2" customHeight="1">
      <c r="A28" s="24" cm="1">
        <f t="array" ref="A28">$A27+1</f>
        <v>81</v>
      </c>
      <c r="B28" s="28" cm="1">
        <f t="array" ref="B28">D27</f>
        <v>1010995.39451008</v>
      </c>
      <c r="C28" s="29" cm="1">
        <f t="array" ref="C28">(B28-($B$4-42000))*$B$3</f>
        <v>32374.8388078528</v>
      </c>
      <c r="D28" s="29" cm="1">
        <f t="array" ref="D28">(B28-($B$4-42000))+C28</f>
        <v>957370.233317933</v>
      </c>
      <c r="E28" s="19"/>
      <c r="F28" s="20"/>
    </row>
    <row r="29" ht="20.2" customHeight="1">
      <c r="A29" s="24" cm="1">
        <f t="array" ref="A29">$A28+1</f>
        <v>82</v>
      </c>
      <c r="B29" s="28" cm="1">
        <f t="array" ref="B29">D28</f>
        <v>957370.233317933</v>
      </c>
      <c r="C29" s="29" cm="1">
        <f t="array" ref="C29">(B29-($B$4-42000))*$B$3</f>
        <v>30497.9581661277</v>
      </c>
      <c r="D29" s="29" cm="1">
        <f t="array" ref="D29">(B29-($B$4-42000))+C29</f>
        <v>901868.191484061</v>
      </c>
      <c r="E29" s="19"/>
      <c r="F29" s="20"/>
    </row>
    <row r="30" ht="20.2" customHeight="1">
      <c r="A30" s="24" cm="1">
        <f t="array" ref="A30">$A29+1</f>
        <v>83</v>
      </c>
      <c r="B30" s="28" cm="1">
        <f t="array" ref="B30">D29</f>
        <v>901868.191484061</v>
      </c>
      <c r="C30" s="29" cm="1">
        <f t="array" ref="C30">(B30-($B$4-42000))*$B$3</f>
        <v>28555.3867019421</v>
      </c>
      <c r="D30" s="29" cm="1">
        <f t="array" ref="D30">(B30-($B$4-42000))+C30</f>
        <v>844423.578186003</v>
      </c>
      <c r="E30" s="19"/>
      <c r="F30" s="20"/>
    </row>
    <row r="31" ht="20.2" customHeight="1">
      <c r="A31" s="24" cm="1">
        <f t="array" ref="A31">$A30+1</f>
        <v>84</v>
      </c>
      <c r="B31" s="28" cm="1">
        <f t="array" ref="B31">D30</f>
        <v>844423.578186003</v>
      </c>
      <c r="C31" s="29" cm="1">
        <f t="array" ref="C31">(B31-($B$4-42000))*$B$3</f>
        <v>26544.8252365101</v>
      </c>
      <c r="D31" s="29" cm="1">
        <f t="array" ref="D31">(B31-($B$4-42000))+C31</f>
        <v>784968.403422513</v>
      </c>
      <c r="E31" s="19"/>
      <c r="F31" s="20"/>
    </row>
    <row r="32" ht="20.2" customHeight="1">
      <c r="A32" s="24" cm="1">
        <f t="array" ref="A32">$A31+1</f>
        <v>85</v>
      </c>
      <c r="B32" s="28" cm="1">
        <f t="array" ref="B32">D31</f>
        <v>784968.403422513</v>
      </c>
      <c r="C32" s="29" cm="1">
        <f t="array" ref="C32">(B32-($B$4-42000))*$B$3</f>
        <v>24463.894119788</v>
      </c>
      <c r="D32" s="29" cm="1">
        <f t="array" ref="D32">(B32-($B$4-42000))+C32</f>
        <v>723432.297542301</v>
      </c>
      <c r="E32" s="19"/>
      <c r="F32" s="20"/>
    </row>
    <row r="33" ht="20.2" customHeight="1">
      <c r="A33" s="24" cm="1">
        <f t="array" ref="A33">$A32+1</f>
        <v>86</v>
      </c>
      <c r="B33" s="28" cm="1">
        <f t="array" ref="B33">D32</f>
        <v>723432.297542301</v>
      </c>
      <c r="C33" s="29" cm="1">
        <f t="array" ref="C33">(B33-($B$4-42000))*$B$3</f>
        <v>22310.1304139805</v>
      </c>
      <c r="D33" s="29" cm="1">
        <f t="array" ref="D33">(B33-($B$4-42000))+C33</f>
        <v>659742.427956282</v>
      </c>
      <c r="E33" s="19"/>
      <c r="F33" s="20"/>
    </row>
    <row r="34" ht="20.2" customHeight="1">
      <c r="A34" s="24" cm="1">
        <f t="array" ref="A34">$A33+1</f>
        <v>87</v>
      </c>
      <c r="B34" s="28" cm="1">
        <f t="array" ref="B34">D33</f>
        <v>659742.427956282</v>
      </c>
      <c r="C34" s="29" cm="1">
        <f t="array" ref="C34">(B34-($B$4-42000))*$B$3</f>
        <v>20080.9849784699</v>
      </c>
      <c r="D34" s="29" cm="1">
        <f t="array" ref="D34">(B34-($B$4-42000))+C34</f>
        <v>593823.4129347519</v>
      </c>
      <c r="E34" s="19"/>
      <c r="F34" s="20"/>
    </row>
    <row r="35" ht="20.2" customHeight="1">
      <c r="A35" s="24" cm="1">
        <f t="array" ref="A35">$A34+1</f>
        <v>88</v>
      </c>
      <c r="B35" s="28" cm="1">
        <f t="array" ref="B35">D34</f>
        <v>593823.4129347519</v>
      </c>
      <c r="C35" s="29" cm="1">
        <f t="array" ref="C35">(B35-($B$4-42000))*$B$3</f>
        <v>17773.8194527163</v>
      </c>
      <c r="D35" s="29" cm="1">
        <f t="array" ref="D35">(B35-($B$4-42000))+C35</f>
        <v>525597.232387468</v>
      </c>
      <c r="E35" s="19"/>
      <c r="F35" s="20"/>
    </row>
    <row r="36" ht="20.2" customHeight="1">
      <c r="A36" s="24" cm="1">
        <f t="array" ref="A36">$A35+1</f>
        <v>89</v>
      </c>
      <c r="B36" s="28" cm="1">
        <f t="array" ref="B36">D35</f>
        <v>525597.232387468</v>
      </c>
      <c r="C36" s="29" cm="1">
        <f t="array" ref="C36">(B36-($B$4-42000))*$B$3</f>
        <v>15385.9031335614</v>
      </c>
      <c r="D36" s="29" cm="1">
        <f t="array" ref="D36">(B36-($B$4-42000))+C36</f>
        <v>454983.135521029</v>
      </c>
      <c r="E36" s="19"/>
      <c r="F36" s="20"/>
    </row>
    <row r="37" ht="20.2" customHeight="1">
      <c r="A37" s="24" cm="1">
        <f t="array" ref="A37">$A36+1</f>
        <v>90</v>
      </c>
      <c r="B37" s="28" cm="1">
        <f t="array" ref="B37">D36</f>
        <v>454983.135521029</v>
      </c>
      <c r="C37" s="29" cm="1">
        <f t="array" ref="C37">(B37-($B$4-42000))*$B$3</f>
        <v>12914.409743236</v>
      </c>
      <c r="D37" s="29" cm="1">
        <f t="array" ref="D37">(B37-($B$4-42000))+C37</f>
        <v>381897.545264265</v>
      </c>
      <c r="E37" s="19"/>
      <c r="F37" s="20"/>
    </row>
    <row r="38" ht="20.2" customHeight="1">
      <c r="A38" s="24" cm="1">
        <f t="array" ref="A38">$A37+1</f>
        <v>91</v>
      </c>
      <c r="B38" s="28" cm="1">
        <f t="array" ref="B38">D37</f>
        <v>381897.545264265</v>
      </c>
      <c r="C38" s="29" cm="1">
        <f t="array" ref="C38">(B38-($B$4-42000))*$B$3</f>
        <v>10356.4140842493</v>
      </c>
      <c r="D38" s="29" cm="1">
        <f t="array" ref="D38">(B38-($B$4-42000))+C38</f>
        <v>306253.959348514</v>
      </c>
      <c r="E38" s="19"/>
      <c r="F38" s="20"/>
    </row>
    <row r="39" ht="20.2" customHeight="1">
      <c r="A39" s="24" cm="1">
        <f t="array" ref="A39">$A38+1</f>
        <v>92</v>
      </c>
      <c r="B39" s="28" cm="1">
        <f t="array" ref="B39">D38</f>
        <v>306253.959348514</v>
      </c>
      <c r="C39" s="29" cm="1">
        <f t="array" ref="C39">(B39-($B$4-42000))*$B$3</f>
        <v>7708.888577197990</v>
      </c>
      <c r="D39" s="29" cm="1">
        <f t="array" ref="D39">(B39-($B$4-42000))+C39</f>
        <v>227962.847925712</v>
      </c>
      <c r="E39" s="19"/>
      <c r="F39" s="20"/>
    </row>
    <row r="40" ht="20.2" customHeight="1">
      <c r="A40" s="24" cm="1">
        <f t="array" ref="A40">$A39+1</f>
        <v>93</v>
      </c>
      <c r="B40" s="28" cm="1">
        <f t="array" ref="B40">D39</f>
        <v>227962.847925712</v>
      </c>
      <c r="C40" s="29" cm="1">
        <f t="array" ref="C40">(B40-($B$4-42000))*$B$3</f>
        <v>4968.699677399920</v>
      </c>
      <c r="D40" s="29" cm="1">
        <f t="array" ref="D40">(B40-($B$4-42000))+C40</f>
        <v>146931.547603112</v>
      </c>
      <c r="E40" s="19"/>
      <c r="F40" s="20"/>
    </row>
    <row r="41" ht="20.2" customHeight="1">
      <c r="A41" s="24" cm="1">
        <f t="array" ref="A41">$A40+1</f>
        <v>94</v>
      </c>
      <c r="B41" s="28" cm="1">
        <f t="array" ref="B41">D40</f>
        <v>146931.547603112</v>
      </c>
      <c r="C41" s="29" cm="1">
        <f t="array" ref="C41">(B41-($B$4-42000))*$B$3</f>
        <v>2132.604166108920</v>
      </c>
      <c r="D41" s="29" cm="1">
        <f t="array" ref="D41">(B41-($B$4-42000))+C41</f>
        <v>63064.1517692209</v>
      </c>
      <c r="E41" s="19"/>
      <c r="F41" s="20"/>
    </row>
    <row r="42" ht="20.2" customHeight="1">
      <c r="A42" s="24" cm="1">
        <f t="array" ref="A42">$A41+1</f>
        <v>95</v>
      </c>
      <c r="B42" s="28" cm="1">
        <f t="array" ref="B42">D41</f>
        <v>63064.1517692209</v>
      </c>
      <c r="C42" s="29" cm="1">
        <f t="array" ref="C42">(B42-($B$4-42000))*$B$3</f>
        <v>-802.754688077269</v>
      </c>
      <c r="D42" s="29" cm="1">
        <f t="array" ref="D42">(B42-($B$4-42000))+C42</f>
        <v>-23738.6029188564</v>
      </c>
      <c r="E42" s="19"/>
      <c r="F42" s="20"/>
    </row>
    <row r="43" ht="20.2" customHeight="1">
      <c r="A43" s="31"/>
      <c r="B43" s="32"/>
      <c r="C43" s="33"/>
      <c r="D43" s="33"/>
      <c r="E43" s="19"/>
      <c r="F43" s="20"/>
    </row>
    <row r="44" ht="20.2" customHeight="1">
      <c r="A44" s="31"/>
      <c r="B44" s="32"/>
      <c r="C44" s="33"/>
      <c r="D44" s="33"/>
      <c r="E44" s="19"/>
      <c r="F44" s="20"/>
    </row>
    <row r="45" ht="20.2" customHeight="1">
      <c r="A45" s="31"/>
      <c r="B45" s="32"/>
      <c r="C45" s="33"/>
      <c r="D45" s="33"/>
      <c r="E45" s="19"/>
      <c r="F45" s="20"/>
    </row>
    <row r="46" ht="20.2" customHeight="1">
      <c r="A46" s="31"/>
      <c r="B46" s="32"/>
      <c r="C46" s="33"/>
      <c r="D46" s="33"/>
      <c r="E46" s="19"/>
      <c r="F46" s="20"/>
    </row>
    <row r="47" ht="20.2" customHeight="1">
      <c r="A47" s="31"/>
      <c r="B47" s="32"/>
      <c r="C47" s="33"/>
      <c r="D47" s="33"/>
      <c r="E47" s="19"/>
      <c r="F47" s="20"/>
    </row>
    <row r="48" ht="20.2" customHeight="1">
      <c r="A48" s="31"/>
      <c r="B48" s="32"/>
      <c r="C48" s="33"/>
      <c r="D48" s="33"/>
      <c r="E48" s="19"/>
      <c r="F48" s="20"/>
    </row>
    <row r="49" ht="20.2" customHeight="1">
      <c r="A49" s="31"/>
      <c r="B49" s="32"/>
      <c r="C49" s="33"/>
      <c r="D49" s="33"/>
      <c r="E49" s="19"/>
      <c r="F49" s="20"/>
    </row>
    <row r="50" ht="20.2" customHeight="1">
      <c r="A50" s="31"/>
      <c r="B50" s="32"/>
      <c r="C50" s="33"/>
      <c r="D50" s="33"/>
      <c r="E50" s="19"/>
      <c r="F50" s="20"/>
    </row>
    <row r="51" ht="20.2" customHeight="1">
      <c r="A51" s="31"/>
      <c r="B51" s="32"/>
      <c r="C51" s="33"/>
      <c r="D51" s="33"/>
      <c r="E51" s="19"/>
      <c r="F51" s="20"/>
    </row>
    <row r="52" ht="20.2" customHeight="1">
      <c r="A52" s="31"/>
      <c r="B52" s="32"/>
      <c r="C52" s="33"/>
      <c r="D52" s="33"/>
      <c r="E52" s="19"/>
      <c r="F52" s="20"/>
    </row>
    <row r="53" ht="20.2" customHeight="1">
      <c r="A53" s="31"/>
      <c r="B53" s="32"/>
      <c r="C53" s="33"/>
      <c r="D53" s="33"/>
      <c r="E53" s="19"/>
      <c r="F53" s="20"/>
    </row>
    <row r="54" ht="20.2" customHeight="1">
      <c r="A54" s="31"/>
      <c r="B54" s="32"/>
      <c r="C54" s="33"/>
      <c r="D54" s="33"/>
      <c r="E54" s="19"/>
      <c r="F54" s="20"/>
    </row>
    <row r="55" ht="20.2" customHeight="1">
      <c r="A55" s="31"/>
      <c r="B55" s="32"/>
      <c r="C55" s="33"/>
      <c r="D55" s="33"/>
      <c r="E55" s="19"/>
      <c r="F55" s="20"/>
    </row>
    <row r="56" ht="20.2" customHeight="1">
      <c r="A56" s="31"/>
      <c r="B56" s="32"/>
      <c r="C56" s="33"/>
      <c r="D56" s="33"/>
      <c r="E56" s="19"/>
      <c r="F56" s="20"/>
    </row>
    <row r="57" ht="20.2" customHeight="1">
      <c r="A57" s="31"/>
      <c r="B57" s="32"/>
      <c r="C57" s="33"/>
      <c r="D57" s="33"/>
      <c r="E57" s="19"/>
      <c r="F57" s="20"/>
    </row>
    <row r="58" ht="20.2" customHeight="1">
      <c r="A58" s="31"/>
      <c r="B58" s="32"/>
      <c r="C58" s="33"/>
      <c r="D58" s="33"/>
      <c r="E58" s="19"/>
      <c r="F58" s="20"/>
    </row>
    <row r="59" ht="20.2" customHeight="1">
      <c r="A59" s="31"/>
      <c r="B59" s="32"/>
      <c r="C59" s="33"/>
      <c r="D59" s="33"/>
      <c r="E59" s="19"/>
      <c r="F59" s="20"/>
    </row>
    <row r="60" ht="20.2" customHeight="1">
      <c r="A60" s="31"/>
      <c r="B60" s="32"/>
      <c r="C60" s="33"/>
      <c r="D60" s="33"/>
      <c r="E60" s="19"/>
      <c r="F60" s="20"/>
    </row>
    <row r="61" ht="20.2" customHeight="1">
      <c r="A61" s="31"/>
      <c r="B61" s="32"/>
      <c r="C61" s="33"/>
      <c r="D61" s="33"/>
      <c r="E61" s="19"/>
      <c r="F61" s="20"/>
    </row>
    <row r="62" ht="20.2" customHeight="1">
      <c r="A62" s="31"/>
      <c r="B62" s="32"/>
      <c r="C62" s="33"/>
      <c r="D62" s="33"/>
      <c r="E62" s="19"/>
      <c r="F62" s="20"/>
    </row>
    <row r="63" ht="20.2" customHeight="1">
      <c r="A63" s="31"/>
      <c r="B63" s="32"/>
      <c r="C63" s="33"/>
      <c r="D63" s="33"/>
      <c r="E63" s="19"/>
      <c r="F63" s="20"/>
    </row>
    <row r="64" ht="20.2" customHeight="1">
      <c r="A64" s="31"/>
      <c r="B64" s="32"/>
      <c r="C64" s="33"/>
      <c r="D64" s="33"/>
      <c r="E64" s="19"/>
      <c r="F64" s="20"/>
    </row>
    <row r="65" ht="20.2" customHeight="1">
      <c r="A65" s="31"/>
      <c r="B65" s="32"/>
      <c r="C65" s="33"/>
      <c r="D65" s="33"/>
      <c r="E65" s="19"/>
      <c r="F65" s="20"/>
    </row>
    <row r="66" ht="20.2" customHeight="1">
      <c r="A66" s="31"/>
      <c r="B66" s="32"/>
      <c r="C66" s="33"/>
      <c r="D66" s="33"/>
      <c r="E66" s="19"/>
      <c r="F66" s="20"/>
    </row>
    <row r="67" ht="20.2" customHeight="1">
      <c r="A67" s="34"/>
      <c r="B67" s="35"/>
      <c r="C67" s="36"/>
      <c r="D67" s="36"/>
      <c r="E67" s="37"/>
      <c r="F67" s="38"/>
    </row>
  </sheetData>
  <mergeCells count="1">
    <mergeCell ref="A1:F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Neue,Regular"&amp;12&amp;KFEFFFE&amp;P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